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Tracker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<sst xmlns="http://schemas.openxmlformats.org/spreadsheetml/2006/main" count="36" uniqueCount="36">
  <si>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Chaos Testing Experiment Review Tracker</t>
  </si>
  <si>
    <t xml:space="preserve">Fast-pass review filter — 4 key gap checks per experiment. Answer Yes / Partial / No from each column's dropdown.</t>
  </si>
  <si>
    <t xml:space="preserve">No.</t>
  </si>
  <si>
    <t xml:space="preserve">Experiment Name / Confluence Link</t>
  </si>
  <si>
    <t xml:space="preserve">Fault Type</t>
  </si>
  <si>
    <t xml:space="preserve">1. Steady-State Baseline Defined?</t>
  </si>
  <si>
    <t xml:space="preserve">2. Evidence Linked (Dashboard/Screenshot)?</t>
  </si>
  <si>
    <t xml:space="preserve">3. Rollback / Abort Criteria Defined?</t>
  </si>
  <si>
    <t xml:space="preserve">4. Verdict Matches Hypothesis?</t>
  </si>
  <si>
    <t xml:space="preserve">Gap Score (auto)</t>
  </si>
  <si>
    <t xml:space="preserve">Review Status (auto)</t>
  </si>
  <si>
    <t xml:space="preserve">Reviewer Notes</t>
  </si>
  <si>
    <t xml:space="preserve">Reviewed By</t>
  </si>
  <si>
    <t xml:space="preserve">Summary</t>
  </si>
  <si>
    <t xml:space="preserve">Total Experiments Reviewed</t>
  </si>
  <si>
    <t xml:space="preserve">Pass - No Gaps</t>
  </si>
  <si>
    <t xml:space="preserve">Minor Gaps</t>
  </si>
  <si>
    <t xml:space="preserve">Major Gaps (Send Back)</t>
  </si>
  <si>
    <t xml:space="preserve">Purpose</t>
  </si>
  <si>
    <t xml:space="preserve">A fast filter to review all 25 chaos experiments against 4 common gaps, without deep-diving each one.</t>
  </si>
  <si>
    <t xml:space="preserve">How to fill it in</t>
  </si>
  <si>
    <t xml:space="preserve">1. Paste the experiment name and a link to its Confluence section in column B.</t>
  </si>
  <si>
    <t xml:space="preserve">2. For each of the 4 questions (columns D-G), select Yes / Partial / No from the dropdown based on what's actually documented.</t>
  </si>
  <si>
    <t xml:space="preserve">   - Yes = evidence clearly present (linked dashboard, defined baseline, etc.)</t>
  </si>
  <si>
    <t xml:space="preserve">   - Partial = mentioned in text but no supporting data/link</t>
  </si>
  <si>
    <t xml:space="preserve">   - No = missing entirely</t>
  </si>
  <si>
    <t xml:space="preserve">3. Gap Score and Review Status calculate automatically:</t>
  </si>
  <si>
    <t xml:space="preserve">   - 0 points = Pass, no gaps</t>
  </si>
  <si>
    <t xml:space="preserve">   - 1-2 points = Minor gaps (note them, can proceed with follow-up)</t>
  </si>
  <si>
    <t xml:space="preserve">   - 3+ points = Major gaps (send back before accepting the verdict)</t>
  </si>
  <si>
    <t xml:space="preserve">4. Use Reviewer Notes for anything specific worth flagging (e.g. 'Copilot verdict says pass but no error-rate data shown').</t>
  </si>
  <si>
    <t xml:space="preserve">The 4 questions</t>
  </si>
  <si>
    <t xml:space="preserve">1. Steady-State Baseline Defined? - Did they establish what 'normal' looked like before injecting the fault?</t>
  </si>
  <si>
    <t xml:space="preserve">2. Evidence Linked? - Is there an actual Dynatrace/CloudWatch link or screenshot behind the verdict, not just prose?</t>
  </si>
  <si>
    <t xml:space="preserve">3. Rollback/Abort Criteria Defined? - Was there a defined stop condition or rollback plan, not just 'we ran it and watched'?</t>
  </si>
  <si>
    <t xml:space="preserve">4. Verdict Matches Hypothesis? - Does the stated conclusion actually answer the original hypothesis, or is it a generic 'system handled it well'?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</si>
</sst>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6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C"/>
      </left>
      <right style="thin">
        <color rgb="FFB0B8CC"/>
      </right>
      <top style="thin">
        <color rgb="FFB0B8CC"/>
      </top>
      <bottom style="thin">
        <color rgb="FFB0B8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C3E6B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3.75" hidden="false" customHeight="true" outlineLevel="0" collapsed="false">
      <c r="A5" s="4" t="n">
        <v>1</v>
      </c>
      <c r="B5" s="5"/>
      <c r="C5" s="5"/>
      <c r="D5" s="5"/>
      <c r="E5" s="5"/>
      <c r="F5" s="5"/>
      <c r="G5" s="5"/>
      <c r="H5" s="6" t="n">
        <f aca="false">SUMPRODUCT((D5:G5="No")*2)+SUMPRODUCT((D5:G5="Partial")*1)</f>
        <v>0</v>
      </c>
      <c r="I5" s="6" t="str">
        <f aca="false">IF(COUNTBLANK(D5:G5)=4,"Not Reviewed",IF(H5=0,"✅ Pass - No Gaps",IF(H5&lt;=2,"⚠ Minor Gaps","❌ Major Gaps - Send Back")))</f>
        <v>Not Reviewed</v>
      </c>
      <c r="J5" s="5"/>
      <c r="K5" s="5"/>
    </row>
    <row r="6" customFormat="false" ht="33.75" hidden="false" customHeight="true" outlineLevel="0" collapsed="false">
      <c r="A6" s="4" t="n">
        <v>2</v>
      </c>
      <c r="B6" s="5"/>
      <c r="C6" s="5"/>
      <c r="D6" s="5"/>
      <c r="E6" s="5"/>
      <c r="F6" s="5"/>
      <c r="G6" s="5"/>
      <c r="H6" s="6" t="n">
        <f aca="false">SUMPRODUCT((D6:G6="No")*2)+SUMPRODUCT((D6:G6="Partial")*1)</f>
        <v>0</v>
      </c>
      <c r="I6" s="6" t="str">
        <f aca="false">IF(COUNTBLANK(D6:G6)=4,"Not Reviewed",IF(H6=0,"✅ Pass - No Gaps",IF(H6&lt;=2,"⚠ Minor Gaps","❌ Major Gaps - Send Back")))</f>
        <v>Not Reviewed</v>
      </c>
      <c r="J6" s="5"/>
      <c r="K6" s="5"/>
    </row>
    <row r="7" customFormat="false" ht="33.75" hidden="false" customHeight="true" outlineLevel="0" collapsed="false">
      <c r="A7" s="4" t="n">
        <v>3</v>
      </c>
      <c r="B7" s="5"/>
      <c r="C7" s="5"/>
      <c r="D7" s="5"/>
      <c r="E7" s="5"/>
      <c r="F7" s="5"/>
      <c r="G7" s="5"/>
      <c r="H7" s="6" t="n">
        <f aca="false">SUMPRODUCT((D7:G7="No")*2)+SUMPRODUCT((D7:G7="Partial")*1)</f>
        <v>0</v>
      </c>
      <c r="I7" s="6" t="str">
        <f aca="false">IF(COUNTBLANK(D7:G7)=4,"Not Reviewed",IF(H7=0,"✅ Pass - No Gaps",IF(H7&lt;=2,"⚠ Minor Gaps","❌ Major Gaps - Send Back")))</f>
        <v>Not Reviewed</v>
      </c>
      <c r="J7" s="5"/>
      <c r="K7" s="5"/>
    </row>
    <row r="8" customFormat="false" ht="33.75" hidden="false" customHeight="true" outlineLevel="0" collapsed="false">
      <c r="A8" s="4" t="n">
        <v>4</v>
      </c>
      <c r="B8" s="5"/>
      <c r="C8" s="5"/>
      <c r="D8" s="5"/>
      <c r="E8" s="5"/>
      <c r="F8" s="5"/>
      <c r="G8" s="5"/>
      <c r="H8" s="6" t="n">
        <f aca="false">SUMPRODUCT((D8:G8="No")*2)+SUMPRODUCT((D8:G8="Partial")*1)</f>
        <v>0</v>
      </c>
      <c r="I8" s="6" t="str">
        <f aca="false">IF(COUNTBLANK(D8:G8)=4,"Not Reviewed",IF(H8=0,"✅ Pass - No Gaps",IF(H8&lt;=2,"⚠ Minor Gaps","❌ Major Gaps - Send Back")))</f>
        <v>Not Reviewed</v>
      </c>
      <c r="J8" s="5"/>
      <c r="K8" s="5"/>
    </row>
    <row r="9" customFormat="false" ht="33.75" hidden="false" customHeight="true" outlineLevel="0" collapsed="false">
      <c r="A9" s="4" t="n">
        <v>5</v>
      </c>
      <c r="B9" s="5"/>
      <c r="C9" s="5"/>
      <c r="D9" s="5"/>
      <c r="E9" s="5"/>
      <c r="F9" s="5"/>
      <c r="G9" s="5"/>
      <c r="H9" s="6" t="n">
        <f aca="false">SUMPRODUCT((D9:G9="No")*2)+SUMPRODUCT((D9:G9="Partial")*1)</f>
        <v>0</v>
      </c>
      <c r="I9" s="6" t="str">
        <f aca="false">IF(COUNTBLANK(D9:G9)=4,"Not Reviewed",IF(H9=0,"✅ Pass - No Gaps",IF(H9&lt;=2,"⚠ Minor Gaps","❌ Major Gaps - Send Back")))</f>
        <v>Not Reviewed</v>
      </c>
      <c r="J9" s="5"/>
      <c r="K9" s="5"/>
    </row>
    <row r="10" customFormat="false" ht="33.75" hidden="false" customHeight="true" outlineLevel="0" collapsed="false">
      <c r="A10" s="4" t="n">
        <v>6</v>
      </c>
      <c r="B10" s="5"/>
      <c r="C10" s="5"/>
      <c r="D10" s="5"/>
      <c r="E10" s="5"/>
      <c r="F10" s="5"/>
      <c r="G10" s="5"/>
      <c r="H10" s="6" t="n">
        <f aca="false">SUMPRODUCT((D10:G10="No")*2)+SUMPRODUCT((D10:G10="Partial")*1)</f>
        <v>0</v>
      </c>
      <c r="I10" s="6" t="str">
        <f aca="false">IF(COUNTBLANK(D10:G10)=4,"Not Reviewed",IF(H10=0,"✅ Pass - No Gaps",IF(H10&lt;=2,"⚠ Minor Gaps","❌ Major Gaps - Send Back")))</f>
        <v>Not Reviewed</v>
      </c>
      <c r="J10" s="5"/>
      <c r="K10" s="5"/>
    </row>
    <row r="11" customFormat="false" ht="33.75" hidden="false" customHeight="true" outlineLevel="0" collapsed="false">
      <c r="A11" s="4" t="n">
        <v>7</v>
      </c>
      <c r="B11" s="5"/>
      <c r="C11" s="5"/>
      <c r="D11" s="5"/>
      <c r="E11" s="5"/>
      <c r="F11" s="5"/>
      <c r="G11" s="5"/>
      <c r="H11" s="6" t="n">
        <f aca="false">SUMPRODUCT((D11:G11="No")*2)+SUMPRODUCT((D11:G11="Partial")*1)</f>
        <v>0</v>
      </c>
      <c r="I11" s="6" t="str">
        <f aca="false">IF(COUNTBLANK(D11:G11)=4,"Not Reviewed",IF(H11=0,"✅ Pass - No Gaps",IF(H11&lt;=2,"⚠ Minor Gaps","❌ Major Gaps - Send Back")))</f>
        <v>Not Reviewed</v>
      </c>
      <c r="J11" s="5"/>
      <c r="K11" s="5"/>
    </row>
    <row r="12" customFormat="false" ht="33.75" hidden="false" customHeight="true" outlineLevel="0" collapsed="false">
      <c r="A12" s="4" t="n">
        <v>8</v>
      </c>
      <c r="B12" s="5"/>
      <c r="C12" s="5"/>
      <c r="D12" s="5"/>
      <c r="E12" s="5"/>
      <c r="F12" s="5"/>
      <c r="G12" s="5"/>
      <c r="H12" s="6" t="n">
        <f aca="false">SUMPRODUCT((D12:G12="No")*2)+SUMPRODUCT((D12:G12="Partial")*1)</f>
        <v>0</v>
      </c>
      <c r="I12" s="6" t="str">
        <f aca="false">IF(COUNTBLANK(D12:G12)=4,"Not Reviewed",IF(H12=0,"✅ Pass - No Gaps",IF(H12&lt;=2,"⚠ Minor Gaps","❌ Major Gaps - Send Back")))</f>
        <v>Not Reviewed</v>
      </c>
      <c r="J12" s="5"/>
      <c r="K12" s="5"/>
    </row>
    <row r="13" customFormat="false" ht="33.75" hidden="false" customHeight="true" outlineLevel="0" collapsed="false">
      <c r="A13" s="4" t="n">
        <v>9</v>
      </c>
      <c r="B13" s="5"/>
      <c r="C13" s="5"/>
      <c r="D13" s="5"/>
      <c r="E13" s="5"/>
      <c r="F13" s="5"/>
      <c r="G13" s="5"/>
      <c r="H13" s="6" t="n">
        <f aca="false">SUMPRODUCT((D13:G13="No")*2)+SUMPRODUCT((D13:G13="Partial")*1)</f>
        <v>0</v>
      </c>
      <c r="I13" s="6" t="str">
        <f aca="false">IF(COUNTBLANK(D13:G13)=4,"Not Reviewed",IF(H13=0,"✅ Pass - No Gaps",IF(H13&lt;=2,"⚠ Minor Gaps","❌ Major Gaps - Send Back")))</f>
        <v>Not Reviewed</v>
      </c>
      <c r="J13" s="5"/>
      <c r="K13" s="5"/>
    </row>
    <row r="14" customFormat="false" ht="33.75" hidden="false" customHeight="true" outlineLevel="0" collapsed="false">
      <c r="A14" s="4" t="n">
        <v>10</v>
      </c>
      <c r="B14" s="5"/>
      <c r="C14" s="5"/>
      <c r="D14" s="5"/>
      <c r="E14" s="5"/>
      <c r="F14" s="5"/>
      <c r="G14" s="5"/>
      <c r="H14" s="6" t="n">
        <f aca="false">SUMPRODUCT((D14:G14="No")*2)+SUMPRODUCT((D14:G14="Partial")*1)</f>
        <v>0</v>
      </c>
      <c r="I14" s="6" t="str">
        <f aca="false">IF(COUNTBLANK(D14:G14)=4,"Not Reviewed",IF(H14=0,"✅ Pass - No Gaps",IF(H14&lt;=2,"⚠ Minor Gaps","❌ Major Gaps - Send Back")))</f>
        <v>Not Reviewed</v>
      </c>
      <c r="J14" s="5"/>
      <c r="K14" s="5"/>
    </row>
    <row r="15" customFormat="false" ht="33.75" hidden="false" customHeight="true" outlineLevel="0" collapsed="false">
      <c r="A15" s="4" t="n">
        <v>11</v>
      </c>
      <c r="B15" s="5"/>
      <c r="C15" s="5"/>
      <c r="D15" s="5"/>
      <c r="E15" s="5"/>
      <c r="F15" s="5"/>
      <c r="G15" s="5"/>
      <c r="H15" s="6" t="n">
        <f aca="false">SUMPRODUCT((D15:G15="No")*2)+SUMPRODUCT((D15:G15="Partial")*1)</f>
        <v>0</v>
      </c>
      <c r="I15" s="6" t="str">
        <f aca="false">IF(COUNTBLANK(D15:G15)=4,"Not Reviewed",IF(H15=0,"✅ Pass - No Gaps",IF(H15&lt;=2,"⚠ Minor Gaps","❌ Major Gaps - Send Back")))</f>
        <v>Not Reviewed</v>
      </c>
      <c r="J15" s="5"/>
      <c r="K15" s="5"/>
    </row>
    <row r="16" customFormat="false" ht="33.75" hidden="false" customHeight="true" outlineLevel="0" collapsed="false">
      <c r="A16" s="4" t="n">
        <v>12</v>
      </c>
      <c r="B16" s="5"/>
      <c r="C16" s="5"/>
      <c r="D16" s="5"/>
      <c r="E16" s="5"/>
      <c r="F16" s="5"/>
      <c r="G16" s="5"/>
      <c r="H16" s="6" t="n">
        <f aca="false">SUMPRODUCT((D16:G16="No")*2)+SUMPRODUCT((D16:G16="Partial")*1)</f>
        <v>0</v>
      </c>
      <c r="I16" s="6" t="str">
        <f aca="false">IF(COUNTBLANK(D16:G16)=4,"Not Reviewed",IF(H16=0,"✅ Pass - No Gaps",IF(H16&lt;=2,"⚠ Minor Gaps","❌ Major Gaps - Send Back")))</f>
        <v>Not Reviewed</v>
      </c>
      <c r="J16" s="5"/>
      <c r="K16" s="5"/>
    </row>
    <row r="17" customFormat="false" ht="33.75" hidden="false" customHeight="true" outlineLevel="0" collapsed="false">
      <c r="A17" s="4" t="n">
        <v>13</v>
      </c>
      <c r="B17" s="5"/>
      <c r="C17" s="5"/>
      <c r="D17" s="5"/>
      <c r="E17" s="5"/>
      <c r="F17" s="5"/>
      <c r="G17" s="5"/>
      <c r="H17" s="6" t="n">
        <f aca="false">SUMPRODUCT((D17:G17="No")*2)+SUMPRODUCT((D17:G17="Partial")*1)</f>
        <v>0</v>
      </c>
      <c r="I17" s="6" t="str">
        <f aca="false">IF(COUNTBLANK(D17:G17)=4,"Not Reviewed",IF(H17=0,"✅ Pass - No Gaps",IF(H17&lt;=2,"⚠ Minor Gaps","❌ Major Gaps - Send Back")))</f>
        <v>Not Reviewed</v>
      </c>
      <c r="J17" s="5"/>
      <c r="K17" s="5"/>
    </row>
    <row r="18" customFormat="false" ht="33.75" hidden="false" customHeight="true" outlineLevel="0" collapsed="false">
      <c r="A18" s="4" t="n">
        <v>14</v>
      </c>
      <c r="B18" s="5"/>
      <c r="C18" s="5"/>
      <c r="D18" s="5"/>
      <c r="E18" s="5"/>
      <c r="F18" s="5"/>
      <c r="G18" s="5"/>
      <c r="H18" s="6" t="n">
        <f aca="false">SUMPRODUCT((D18:G18="No")*2)+SUMPRODUCT((D18:G18="Partial")*1)</f>
        <v>0</v>
      </c>
      <c r="I18" s="6" t="str">
        <f aca="false">IF(COUNTBLANK(D18:G18)=4,"Not Reviewed",IF(H18=0,"✅ Pass - No Gaps",IF(H18&lt;=2,"⚠ Minor Gaps","❌ Major Gaps - Send Back")))</f>
        <v>Not Reviewed</v>
      </c>
      <c r="J18" s="5"/>
      <c r="K18" s="5"/>
    </row>
    <row r="19" customFormat="false" ht="33.75" hidden="false" customHeight="true" outlineLevel="0" collapsed="false">
      <c r="A19" s="4" t="n">
        <v>15</v>
      </c>
      <c r="B19" s="5"/>
      <c r="C19" s="5"/>
      <c r="D19" s="5"/>
      <c r="E19" s="5"/>
      <c r="F19" s="5"/>
      <c r="G19" s="5"/>
      <c r="H19" s="6" t="n">
        <f aca="false">SUMPRODUCT((D19:G19="No")*2)+SUMPRODUCT((D19:G19="Partial")*1)</f>
        <v>0</v>
      </c>
      <c r="I19" s="6" t="str">
        <f aca="false">IF(COUNTBLANK(D19:G19)=4,"Not Reviewed",IF(H19=0,"✅ Pass - No Gaps",IF(H19&lt;=2,"⚠ Minor Gaps","❌ Major Gaps - Send Back")))</f>
        <v>Not Reviewed</v>
      </c>
      <c r="J19" s="5"/>
      <c r="K19" s="5"/>
    </row>
    <row r="20" customFormat="false" ht="33.75" hidden="false" customHeight="true" outlineLevel="0" collapsed="false">
      <c r="A20" s="4" t="n">
        <v>16</v>
      </c>
      <c r="B20" s="5"/>
      <c r="C20" s="5"/>
      <c r="D20" s="5"/>
      <c r="E20" s="5"/>
      <c r="F20" s="5"/>
      <c r="G20" s="5"/>
      <c r="H20" s="6" t="n">
        <f aca="false">SUMPRODUCT((D20:G20="No")*2)+SUMPRODUCT((D20:G20="Partial")*1)</f>
        <v>0</v>
      </c>
      <c r="I20" s="6" t="str">
        <f aca="false">IF(COUNTBLANK(D20:G20)=4,"Not Reviewed",IF(H20=0,"✅ Pass - No Gaps",IF(H20&lt;=2,"⚠ Minor Gaps","❌ Major Gaps - Send Back")))</f>
        <v>Not Reviewed</v>
      </c>
      <c r="J20" s="5"/>
      <c r="K20" s="5"/>
    </row>
    <row r="21" customFormat="false" ht="33.75" hidden="false" customHeight="true" outlineLevel="0" collapsed="false">
      <c r="A21" s="4" t="n">
        <v>17</v>
      </c>
      <c r="B21" s="5"/>
      <c r="C21" s="5"/>
      <c r="D21" s="5"/>
      <c r="E21" s="5"/>
      <c r="F21" s="5"/>
      <c r="G21" s="5"/>
      <c r="H21" s="6" t="n">
        <f aca="false">SUMPRODUCT((D21:G21="No")*2)+SUMPRODUCT((D21:G21="Partial")*1)</f>
        <v>0</v>
      </c>
      <c r="I21" s="6" t="str">
        <f aca="false">IF(COUNTBLANK(D21:G21)=4,"Not Reviewed",IF(H21=0,"✅ Pass - No Gaps",IF(H21&lt;=2,"⚠ Minor Gaps","❌ Major Gaps - Send Back")))</f>
        <v>Not Reviewed</v>
      </c>
      <c r="J21" s="5"/>
      <c r="K21" s="5"/>
    </row>
    <row r="22" customFormat="false" ht="33.75" hidden="false" customHeight="true" outlineLevel="0" collapsed="false">
      <c r="A22" s="4" t="n">
        <v>18</v>
      </c>
      <c r="B22" s="5"/>
      <c r="C22" s="5"/>
      <c r="D22" s="5"/>
      <c r="E22" s="5"/>
      <c r="F22" s="5"/>
      <c r="G22" s="5"/>
      <c r="H22" s="6" t="n">
        <f aca="false">SUMPRODUCT((D22:G22="No")*2)+SUMPRODUCT((D22:G22="Partial")*1)</f>
        <v>0</v>
      </c>
      <c r="I22" s="6" t="str">
        <f aca="false">IF(COUNTBLANK(D22:G22)=4,"Not Reviewed",IF(H22=0,"✅ Pass - No Gaps",IF(H22&lt;=2,"⚠ Minor Gaps","❌ Major Gaps - Send Back")))</f>
        <v>Not Reviewed</v>
      </c>
      <c r="J22" s="5"/>
      <c r="K22" s="5"/>
    </row>
    <row r="23" customFormat="false" ht="33.75" hidden="false" customHeight="true" outlineLevel="0" collapsed="false">
      <c r="A23" s="4" t="n">
        <v>19</v>
      </c>
      <c r="B23" s="5"/>
      <c r="C23" s="5"/>
      <c r="D23" s="5"/>
      <c r="E23" s="5"/>
      <c r="F23" s="5"/>
      <c r="G23" s="5"/>
      <c r="H23" s="6" t="n">
        <f aca="false">SUMPRODUCT((D23:G23="No")*2)+SUMPRODUCT((D23:G23="Partial")*1)</f>
        <v>0</v>
      </c>
      <c r="I23" s="6" t="str">
        <f aca="false">IF(COUNTBLANK(D23:G23)=4,"Not Reviewed",IF(H23=0,"✅ Pass - No Gaps",IF(H23&lt;=2,"⚠ Minor Gaps","❌ Major Gaps - Send Back")))</f>
        <v>Not Reviewed</v>
      </c>
      <c r="J23" s="5"/>
      <c r="K23" s="5"/>
    </row>
    <row r="24" customFormat="false" ht="33.75" hidden="false" customHeight="true" outlineLevel="0" collapsed="false">
      <c r="A24" s="4" t="n">
        <v>20</v>
      </c>
      <c r="B24" s="5"/>
      <c r="C24" s="5"/>
      <c r="D24" s="5"/>
      <c r="E24" s="5"/>
      <c r="F24" s="5"/>
      <c r="G24" s="5"/>
      <c r="H24" s="6" t="n">
        <f aca="false">SUMPRODUCT((D24:G24="No")*2)+SUMPRODUCT((D24:G24="Partial")*1)</f>
        <v>0</v>
      </c>
      <c r="I24" s="6" t="str">
        <f aca="false">IF(COUNTBLANK(D24:G24)=4,"Not Reviewed",IF(H24=0,"✅ Pass - No Gaps",IF(H24&lt;=2,"⚠ Minor Gaps","❌ Major Gaps - Send Back")))</f>
        <v>Not Reviewed</v>
      </c>
      <c r="J24" s="5"/>
      <c r="K24" s="5"/>
    </row>
    <row r="25" customFormat="false" ht="33.75" hidden="false" customHeight="true" outlineLevel="0" collapsed="false">
      <c r="A25" s="4" t="n">
        <v>21</v>
      </c>
      <c r="B25" s="5"/>
      <c r="C25" s="5"/>
      <c r="D25" s="5"/>
      <c r="E25" s="5"/>
      <c r="F25" s="5"/>
      <c r="G25" s="5"/>
      <c r="H25" s="6" t="n">
        <f aca="false">SUMPRODUCT((D25:G25="No")*2)+SUMPRODUCT((D25:G25="Partial")*1)</f>
        <v>0</v>
      </c>
      <c r="I25" s="6" t="str">
        <f aca="false">IF(COUNTBLANK(D25:G25)=4,"Not Reviewed",IF(H25=0,"✅ Pass - No Gaps",IF(H25&lt;=2,"⚠ Minor Gaps","❌ Major Gaps - Send Back")))</f>
        <v>Not Reviewed</v>
      </c>
      <c r="J25" s="5"/>
      <c r="K25" s="5"/>
    </row>
    <row r="26" customFormat="false" ht="33.75" hidden="false" customHeight="true" outlineLevel="0" collapsed="false">
      <c r="A26" s="4" t="n">
        <v>22</v>
      </c>
      <c r="B26" s="5"/>
      <c r="C26" s="5"/>
      <c r="D26" s="5"/>
      <c r="E26" s="5"/>
      <c r="F26" s="5"/>
      <c r="G26" s="5"/>
      <c r="H26" s="6" t="n">
        <f aca="false">SUMPRODUCT((D26:G26="No")*2)+SUMPRODUCT((D26:G26="Partial")*1)</f>
        <v>0</v>
      </c>
      <c r="I26" s="6" t="str">
        <f aca="false">IF(COUNTBLANK(D26:G26)=4,"Not Reviewed",IF(H26=0,"✅ Pass - No Gaps",IF(H26&lt;=2,"⚠ Minor Gaps","❌ Major Gaps - Send Back")))</f>
        <v>Not Reviewed</v>
      </c>
      <c r="J26" s="5"/>
      <c r="K26" s="5"/>
    </row>
    <row r="27" customFormat="false" ht="33.75" hidden="false" customHeight="true" outlineLevel="0" collapsed="false">
      <c r="A27" s="4" t="n">
        <v>23</v>
      </c>
      <c r="B27" s="5"/>
      <c r="C27" s="5"/>
      <c r="D27" s="5"/>
      <c r="E27" s="5"/>
      <c r="F27" s="5"/>
      <c r="G27" s="5"/>
      <c r="H27" s="6" t="n">
        <f aca="false">SUMPRODUCT((D27:G27="No")*2)+SUMPRODUCT((D27:G27="Partial")*1)</f>
        <v>0</v>
      </c>
      <c r="I27" s="6" t="str">
        <f aca="false">IF(COUNTBLANK(D27:G27)=4,"Not Reviewed",IF(H27=0,"✅ Pass - No Gaps",IF(H27&lt;=2,"⚠ Minor Gaps","❌ Major Gaps - Send Back")))</f>
        <v>Not Reviewed</v>
      </c>
      <c r="J27" s="5"/>
      <c r="K27" s="5"/>
    </row>
    <row r="28" customFormat="false" ht="33.75" hidden="false" customHeight="true" outlineLevel="0" collapsed="false">
      <c r="A28" s="4" t="n">
        <v>24</v>
      </c>
      <c r="B28" s="5"/>
      <c r="C28" s="5"/>
      <c r="D28" s="5"/>
      <c r="E28" s="5"/>
      <c r="F28" s="5"/>
      <c r="G28" s="5"/>
      <c r="H28" s="6" t="n">
        <f aca="false">SUMPRODUCT((D28:G28="No")*2)+SUMPRODUCT((D28:G28="Partial")*1)</f>
        <v>0</v>
      </c>
      <c r="I28" s="6" t="str">
        <f aca="false">IF(COUNTBLANK(D28:G28)=4,"Not Reviewed",IF(H28=0,"✅ Pass - No Gaps",IF(H28&lt;=2,"⚠ Minor Gaps","❌ Major Gaps - Send Back")))</f>
        <v>Not Reviewed</v>
      </c>
      <c r="J28" s="5"/>
      <c r="K28" s="5"/>
    </row>
    <row r="29" customFormat="false" ht="33.75" hidden="false" customHeight="true" outlineLevel="0" collapsed="false">
      <c r="A29" s="4" t="n">
        <v>25</v>
      </c>
      <c r="B29" s="5"/>
      <c r="C29" s="5"/>
      <c r="D29" s="5"/>
      <c r="E29" s="5"/>
      <c r="F29" s="5"/>
      <c r="G29" s="5"/>
      <c r="H29" s="6" t="n">
        <f aca="false">SUMPRODUCT((D29:G29="No")*2)+SUMPRODUCT((D29:G29="Partial")*1)</f>
        <v>0</v>
      </c>
      <c r="I29" s="6" t="str">
        <f aca="false">IF(COUNTBLANK(D29:G29)=4,"Not Reviewed",IF(H29=0,"✅ Pass - No Gaps",IF(H29&lt;=2,"⚠ Minor Gaps","❌ Major Gaps - Send Back")))</f>
        <v>Not Reviewed</v>
      </c>
      <c r="J29" s="5"/>
      <c r="K29" s="5"/>
    </row>
    <row r="32" customFormat="false" ht="15" hidden="false" customHeight="false" outlineLevel="0" collapsed="false">
      <c r="A32" s="7" t="s">
        <v>13</v>
      </c>
      <c r="B32" s="7"/>
    </row>
    <row r="33" customFormat="false" ht="15" hidden="false" customHeight="false" outlineLevel="0" collapsed="false">
      <c r="A33" s="8" t="s">
        <v>14</v>
      </c>
      <c r="B33" s="4" t="n">
        <f aca="false">COUNTIF(D5:D29,"&lt;&gt;")</f>
        <v>0</v>
      </c>
    </row>
    <row r="34" customFormat="false" ht="15" hidden="false" customHeight="false" outlineLevel="0" collapsed="false">
      <c r="A34" s="8" t="s">
        <v>15</v>
      </c>
      <c r="B34" s="4" t="n">
        <f aca="false">COUNTIF(I5:I29,"✅ Pass - No Gaps")</f>
        <v>0</v>
      </c>
    </row>
    <row r="35" customFormat="false" ht="15" hidden="false" customHeight="false" outlineLevel="0" collapsed="false">
      <c r="A35" s="8" t="s">
        <v>16</v>
      </c>
      <c r="B35" s="4" t="n">
        <f aca="false">COUNTIF(I5:I29,"⚠ Minor Gaps")</f>
        <v>0</v>
      </c>
    </row>
    <row r="36" customFormat="false" ht="15" hidden="false" customHeight="false" outlineLevel="0" collapsed="false">
      <c r="A36" s="8" t="s">
        <v>17</v>
      </c>
      <c r="B36" s="4" t="n">
        <f aca="false">COUNTIF(I5:I29,"❌ Major Gaps - Send Back")</f>
        <v>0</v>
      </c>
    </row>
  </sheetData>
  <mergeCells count="3">
    <mergeCell ref="A1:K1"/>
    <mergeCell ref="A2:K2"/>
    <mergeCell ref="A32:B32"/>
  </mergeCells>
  <dataValidations count="1">
    <dataValidation allowBlank="true" errorStyle="stop" operator="between" showDropDown="false" showErrorMessage="false" showInputMessage="false" sqref="D5:G29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9" t="s">
        <v>18</v>
      </c>
    </row>
    <row r="2" customFormat="false" ht="15" hidden="false" customHeight="false" outlineLevel="0" collapsed="false">
      <c r="A2" s="10" t="s">
        <v>19</v>
      </c>
    </row>
    <row r="3" customFormat="false" ht="15" hidden="false" customHeight="false" outlineLevel="0" collapsed="false">
      <c r="A3" s="10"/>
    </row>
    <row r="4" customFormat="false" ht="15" hidden="false" customHeight="false" outlineLevel="0" collapsed="false">
      <c r="A4" s="9" t="s">
        <v>20</v>
      </c>
    </row>
    <row r="5" customFormat="false" ht="15" hidden="false" customHeight="false" outlineLevel="0" collapsed="false">
      <c r="A5" s="10" t="s">
        <v>21</v>
      </c>
    </row>
    <row r="6" customFormat="false" ht="15" hidden="false" customHeight="false" outlineLevel="0" collapsed="false">
      <c r="A6" s="10" t="s">
        <v>22</v>
      </c>
    </row>
    <row r="7" customFormat="false" ht="15" hidden="false" customHeight="false" outlineLevel="0" collapsed="false">
      <c r="A7" s="10" t="s">
        <v>23</v>
      </c>
    </row>
    <row r="8" customFormat="false" ht="15" hidden="false" customHeight="false" outlineLevel="0" collapsed="false">
      <c r="A8" s="10" t="s">
        <v>24</v>
      </c>
    </row>
    <row r="9" customFormat="false" ht="15" hidden="false" customHeight="false" outlineLevel="0" collapsed="false">
      <c r="A9" s="10" t="s">
        <v>25</v>
      </c>
    </row>
    <row r="10" customFormat="false" ht="15" hidden="false" customHeight="false" outlineLevel="0" collapsed="false">
      <c r="A10" s="10" t="s">
        <v>26</v>
      </c>
    </row>
    <row r="11" customFormat="false" ht="15" hidden="false" customHeight="false" outlineLevel="0" collapsed="false">
      <c r="A11" s="10" t="s">
        <v>27</v>
      </c>
    </row>
    <row r="12" customFormat="false" ht="15" hidden="false" customHeight="false" outlineLevel="0" collapsed="false">
      <c r="A12" s="10" t="s">
        <v>28</v>
      </c>
    </row>
    <row r="13" customFormat="false" ht="15" hidden="false" customHeight="false" outlineLevel="0" collapsed="false">
      <c r="A13" s="10" t="s">
        <v>29</v>
      </c>
    </row>
    <row r="14" customFormat="false" ht="15" hidden="false" customHeight="false" outlineLevel="0" collapsed="false">
      <c r="A14" s="10" t="s">
        <v>30</v>
      </c>
    </row>
    <row r="15" customFormat="false" ht="15" hidden="false" customHeight="false" outlineLevel="0" collapsed="false">
      <c r="A15" s="10"/>
    </row>
    <row r="16" customFormat="false" ht="15" hidden="false" customHeight="false" outlineLevel="0" collapsed="false">
      <c r="A16" s="9" t="s">
        <v>31</v>
      </c>
    </row>
    <row r="17" customFormat="false" ht="15" hidden="false" customHeight="false" outlineLevel="0" collapsed="false">
      <c r="A17" s="10" t="s">
        <v>32</v>
      </c>
    </row>
    <row r="18" customFormat="false" ht="15" hidden="false" customHeight="false" outlineLevel="0" collapsed="false">
      <c r="A18" s="10" t="s">
        <v>33</v>
      </c>
    </row>
    <row r="19" customFormat="false" ht="15" hidden="false" customHeight="false" outlineLevel="0" collapsed="false">
      <c r="A19" s="10" t="s">
        <v>34</v>
      </c>
    </row>
    <row r="20" customFormat="false" ht="23.85" hidden="false" customHeight="false" outlineLevel="0" collapsed="false">
      <c r="A20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2026-08-18T21:04:42Z</dcterms:created>
  <dc:creator>openpyxl</dc:creator>
  <dc:description/>
  <dc:language>en-US</dc:language>
  <cp:lastModifiedBy/>
  <dcterms:modified xsi:type="dcterms:W3CDTF">2026-08-18T21:04:42Z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